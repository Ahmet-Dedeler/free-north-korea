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2090"/>
  </bookViews>
  <sheets>
    <sheet name="북한이탈주민 정착지원 통계(공개)" sheetId="7" r:id="rId1"/>
  </sheets>
  <calcPr calcId="144525"/>
</workbook>
</file>

<file path=xl/calcChain.xml><?xml version="1.0" encoding="utf-8"?>
<calcChain xmlns="http://schemas.openxmlformats.org/spreadsheetml/2006/main">
  <c r="C128" i="7" l="1"/>
  <c r="B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28" i="7" s="1"/>
  <c r="C105" i="7"/>
  <c r="B105" i="7"/>
  <c r="D105" i="7" s="1"/>
  <c r="D104" i="7"/>
  <c r="D103" i="7"/>
  <c r="D102" i="7"/>
  <c r="D101" i="7"/>
  <c r="D100" i="7"/>
  <c r="D99" i="7"/>
  <c r="D98" i="7"/>
  <c r="D92" i="7"/>
  <c r="C92" i="7"/>
  <c r="B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C72" i="7"/>
  <c r="B72" i="7"/>
  <c r="D72" i="7" s="1"/>
  <c r="D71" i="7"/>
  <c r="D70" i="7"/>
  <c r="D69" i="7"/>
  <c r="D68" i="7"/>
  <c r="D67" i="7"/>
  <c r="D66" i="7"/>
  <c r="D65" i="7"/>
  <c r="D64" i="7"/>
  <c r="C58" i="7"/>
  <c r="B58" i="7"/>
  <c r="D57" i="7"/>
  <c r="D56" i="7"/>
  <c r="D58" i="7" s="1"/>
  <c r="D55" i="7"/>
  <c r="D54" i="7"/>
  <c r="D53" i="7"/>
  <c r="D52" i="7"/>
  <c r="D51" i="7"/>
  <c r="D50" i="7"/>
  <c r="C43" i="7"/>
  <c r="B43" i="7"/>
  <c r="D42" i="7"/>
  <c r="D41" i="7"/>
  <c r="D40" i="7"/>
  <c r="D39" i="7"/>
  <c r="D38" i="7"/>
  <c r="D37" i="7"/>
  <c r="D36" i="7"/>
  <c r="D43" i="7" s="1"/>
  <c r="C31" i="7" l="1"/>
  <c r="B31" i="7"/>
  <c r="D29" i="7"/>
  <c r="D30" i="7"/>
  <c r="E30" i="7" s="1"/>
  <c r="D31" i="7" l="1"/>
  <c r="E29" i="7" l="1"/>
  <c r="D28" i="7" l="1"/>
  <c r="E28" i="7" s="1"/>
  <c r="E27" i="7" l="1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D4" i="7"/>
  <c r="E4" i="7" l="1"/>
  <c r="E31" i="7"/>
</calcChain>
</file>

<file path=xl/sharedStrings.xml><?xml version="1.0" encoding="utf-8"?>
<sst xmlns="http://schemas.openxmlformats.org/spreadsheetml/2006/main" count="153" uniqueCount="113">
  <si>
    <t>계</t>
  </si>
  <si>
    <t>구분</t>
  </si>
  <si>
    <t>합계</t>
  </si>
  <si>
    <t>제주</t>
  </si>
  <si>
    <t>개성</t>
  </si>
  <si>
    <t>남(명)</t>
  </si>
  <si>
    <t>여(명)</t>
  </si>
  <si>
    <t>합계(명)</t>
  </si>
  <si>
    <t>여성비율</t>
  </si>
  <si>
    <t>0-9세</t>
  </si>
  <si>
    <t>10-19세</t>
  </si>
  <si>
    <t>20-29세</t>
  </si>
  <si>
    <t>30-39세</t>
  </si>
  <si>
    <t>40-49세</t>
  </si>
  <si>
    <t>50-59세</t>
  </si>
  <si>
    <t>60세이상</t>
  </si>
  <si>
    <t>남</t>
  </si>
  <si>
    <t>여</t>
  </si>
  <si>
    <t>관리직</t>
  </si>
  <si>
    <t>군인</t>
  </si>
  <si>
    <t>노동자</t>
  </si>
  <si>
    <t>무직부양</t>
  </si>
  <si>
    <t>봉사분야</t>
  </si>
  <si>
    <t>예술체육</t>
  </si>
  <si>
    <t>전문직</t>
  </si>
  <si>
    <t>유치원</t>
  </si>
  <si>
    <t>전문대</t>
  </si>
  <si>
    <t>대학 이상</t>
  </si>
  <si>
    <t>무학(북)</t>
  </si>
  <si>
    <t>강원</t>
  </si>
  <si>
    <t>남포</t>
  </si>
  <si>
    <t>양강</t>
  </si>
  <si>
    <t>자강</t>
  </si>
  <si>
    <t>평남</t>
  </si>
  <si>
    <t>평북</t>
  </si>
  <si>
    <t>평양</t>
  </si>
  <si>
    <t>함남</t>
  </si>
  <si>
    <t>함북</t>
  </si>
  <si>
    <t>황남</t>
  </si>
  <si>
    <t>황북</t>
  </si>
  <si>
    <t>지역</t>
  </si>
  <si>
    <t>서울</t>
  </si>
  <si>
    <t>경기</t>
  </si>
  <si>
    <t>인천</t>
  </si>
  <si>
    <t>부산</t>
  </si>
  <si>
    <t>경북</t>
  </si>
  <si>
    <t>경남</t>
  </si>
  <si>
    <t>대구</t>
  </si>
  <si>
    <t>충북</t>
  </si>
  <si>
    <t>충남·세종</t>
  </si>
  <si>
    <t>광주</t>
  </si>
  <si>
    <t>대전</t>
  </si>
  <si>
    <t>전남</t>
  </si>
  <si>
    <t>전북</t>
  </si>
  <si>
    <t>울산</t>
  </si>
  <si>
    <t>북한이탈주민 정착 현황</t>
  </si>
  <si>
    <t>고용률</t>
  </si>
  <si>
    <t>실업률</t>
  </si>
  <si>
    <t>취학전
아동</t>
    <phoneticPr fontId="4" type="noConversion"/>
  </si>
  <si>
    <t>인민학교
(소학교)</t>
    <phoneticPr fontId="4" type="noConversion"/>
  </si>
  <si>
    <t>※ 과거자료 정비 등으로 일부 인원이 조정될 수 있으며, 기타 인원중에 하나원 최근 입소인원의 학력 미입력자 일부 포함</t>
    <phoneticPr fontId="4" type="noConversion"/>
  </si>
  <si>
    <t>경제활동
참가율</t>
    <phoneticPr fontId="4" type="noConversion"/>
  </si>
  <si>
    <t>※ 최근 입국하여 보호시설 등에 있는 일부인원은 제외된 수치로 입국인원과 차이가 있음, 해당 학력별 중퇴자 포함</t>
    <phoneticPr fontId="4" type="noConversion"/>
  </si>
  <si>
    <t>※ 최근 입국하여 보호시설 등에 있는 일부인원은 제외된 수치로 입국인원과 차이가 있음</t>
    <phoneticPr fontId="4" type="noConversion"/>
  </si>
  <si>
    <t>※ 학업 중단율 = (해당연도 학업중단자 총수/전년 재학생 총수)*100
(교육부 자료)</t>
    <phoneticPr fontId="4" type="noConversion"/>
  </si>
  <si>
    <t xml:space="preserve">※ 출처 : 남북하나재단 북한이탈주민 정착실태조사 </t>
    <phoneticPr fontId="4" type="noConversion"/>
  </si>
  <si>
    <t>중학교(고등중)</t>
    <phoneticPr fontId="4" type="noConversion"/>
  </si>
  <si>
    <t>기타(불상 등)</t>
    <phoneticPr fontId="4" type="noConversion"/>
  </si>
  <si>
    <t>기타(재외 등)</t>
    <phoneticPr fontId="4" type="noConversion"/>
  </si>
  <si>
    <t>생계급여수급률</t>
    <phoneticPr fontId="4" type="noConversion"/>
  </si>
  <si>
    <t>비대상(아동 등)</t>
    <phoneticPr fontId="4" type="noConversion"/>
  </si>
  <si>
    <t>구분</t>
    <phoneticPr fontId="4" type="noConversion"/>
  </si>
  <si>
    <t>(단위:%)</t>
    <phoneticPr fontId="10" type="noConversion"/>
  </si>
  <si>
    <t>(단위:명)</t>
    <phoneticPr fontId="10" type="noConversion"/>
  </si>
  <si>
    <t xml:space="preserve">~1998 </t>
    <phoneticPr fontId="10" type="noConversion"/>
  </si>
  <si>
    <t>~2001</t>
    <phoneticPr fontId="10" type="noConversion"/>
  </si>
  <si>
    <t>2002</t>
    <phoneticPr fontId="10" type="noConversion"/>
  </si>
  <si>
    <t>2003</t>
    <phoneticPr fontId="10" type="noConversion"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</si>
  <si>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</si>
  <si>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</si>
  <si>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</si>
  <si>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</si>
  <si>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</si>
  <si>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</si>
  <si>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</si>
  <si>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</si>
  <si>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</si>
  <si>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</si>
  <si>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</si>
  <si>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</si>
  <si>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</si>
  <si>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</si>
  <si>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</si>
  <si>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</si>
  <si>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</si>
  <si>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</si>
  <si>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</si>
  <si>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</si>
  <si>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초·중·고 학업중단율</t>
    <phoneticPr fontId="4" type="noConversion"/>
  </si>
  <si>
    <t>※ 최근 입국하여 보호시설 등에 있는 일부인원은 제외된 수치로 입국인원과 차이가 있음
    (과거자료 정비 등으로 일부 인원이 조정될 수 있음)</t>
    <phoneticPr fontId="4" type="noConversion"/>
  </si>
  <si>
    <t>2024</t>
    <phoneticPr fontId="4" type="noConversion"/>
  </si>
  <si>
    <t>2025</t>
    <phoneticPr fontId="4" type="noConversion"/>
  </si>
  <si>
    <t>※ 입국당시 연령 기준이며, 최근 입국하여 보호시설 등에 있는 일부인원은 제외된 수치로 입국인원과 차이가 있음</t>
    <phoneticPr fontId="4" type="noConversion"/>
  </si>
  <si>
    <t>2026</t>
    <phoneticPr fontId="10" type="noConversion"/>
  </si>
  <si>
    <t xml:space="preserve">입국 현황(’26.6월말 입국자 기준)  </t>
    <phoneticPr fontId="4" type="noConversion"/>
  </si>
  <si>
    <t>재북 직업별 현황(’26.6월말)</t>
    <phoneticPr fontId="10" type="noConversion"/>
  </si>
  <si>
    <t>재북 학력별 현황(’26.6월말)</t>
    <phoneticPr fontId="10" type="noConversion"/>
  </si>
  <si>
    <t>재북 출신지역별 현황(’26.6월말)</t>
    <phoneticPr fontId="10" type="noConversion"/>
  </si>
  <si>
    <t>※ 현재 연령 기준이며, △최근 입국하여 보호시설 등에 있는 일부인원△ 사망자, 국적상실자(2,031명)은 제외된 수치로 입국인원과 차이가 있음</t>
    <phoneticPr fontId="4" type="noConversion"/>
  </si>
  <si>
    <t>현재 연령별 현황(’26.6월말)</t>
    <phoneticPr fontId="10" type="noConversion"/>
  </si>
  <si>
    <t>지역별 거주 현황(’26.6월말 거주자 기준)</t>
    <phoneticPr fontId="10" type="noConversion"/>
  </si>
  <si>
    <t>※ △최근 입국하여 보호시설 등에 있는 일부인원△사망자, 국적상실자, 말소자, 해외체류자 등(2,995명)은 제외된 수치로 입국인원과 차이가 있음</t>
    <phoneticPr fontId="4" type="noConversion"/>
  </si>
  <si>
    <t>연령대별 현황(’26.6월말)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</si>
</sst>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 "/>
    <numFmt numFmtId="177" formatCode="0.0_ "/>
    <numFmt numFmtId="178" formatCode="0.0_);[Red]\(0.0\)"/>
    <numFmt numFmtId="179" formatCode="0.0%"/>
    <numFmt numFmtId="180" formatCode="0.0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rgb="FF28689F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rgb="FF444444"/>
      <name val="굴림"/>
      <family val="3"/>
      <charset val="129"/>
    </font>
    <font>
      <b/>
      <sz val="10"/>
      <color rgb="FF275D8B"/>
      <name val="굴림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b/>
      <sz val="11"/>
      <color theme="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6" fillId="0" borderId="0" xfId="0" applyFont="1" applyAlignment="1">
      <alignment vertical="center" shrinkToFit="1"/>
    </xf>
    <xf numFmtId="0" fontId="8" fillId="2" borderId="1" xfId="0" applyFont="1" applyFill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9" fontId="7" fillId="0" borderId="1" xfId="0" applyNumberFormat="1" applyFont="1" applyBorder="1" applyAlignment="1">
      <alignment horizontal="center" vertical="center" shrinkToFit="1"/>
    </xf>
    <xf numFmtId="3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0" fillId="0" borderId="0" xfId="0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178" fontId="7" fillId="0" borderId="1" xfId="0" applyNumberFormat="1" applyFont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 shrinkToFit="1"/>
    </xf>
    <xf numFmtId="180" fontId="7" fillId="0" borderId="1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vertical="center" wrapText="1" shrinkToFit="1"/>
    </xf>
    <xf numFmtId="177" fontId="9" fillId="0" borderId="1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13" fillId="0" borderId="0" xfId="0" applyFont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13" fillId="0" borderId="0" xfId="0" applyFont="1" applyBorder="1" applyAlignment="1">
      <alignment vertical="center" shrinkToFit="1"/>
    </xf>
    <xf numFmtId="0" fontId="14" fillId="0" borderId="0" xfId="0" applyFont="1" applyBorder="1" applyAlignment="1">
      <alignment vertical="center" shrinkToFit="1"/>
    </xf>
    <xf numFmtId="0" fontId="7" fillId="0" borderId="0" xfId="0" applyFont="1" applyBorder="1" applyAlignment="1">
      <alignment horizontal="left" vertical="center" shrinkToFit="1"/>
    </xf>
    <xf numFmtId="0" fontId="9" fillId="0" borderId="0" xfId="0" applyFont="1" applyAlignment="1">
      <alignment horizontal="right" vertical="center" shrinkToFit="1"/>
    </xf>
    <xf numFmtId="3" fontId="14" fillId="0" borderId="0" xfId="0" applyNumberFormat="1" applyFont="1" applyBorder="1" applyAlignment="1">
      <alignment vertical="center" shrinkToFit="1"/>
    </xf>
    <xf numFmtId="3" fontId="0" fillId="0" borderId="0" xfId="0" applyNumberFormat="1" applyAlignment="1">
      <alignment vertical="center" shrinkToFit="1"/>
    </xf>
    <xf numFmtId="0" fontId="8" fillId="0" borderId="1" xfId="0" applyFont="1" applyBorder="1" applyAlignment="1">
      <alignment horizontal="center" vertical="center" shrinkToFit="1"/>
    </xf>
    <xf numFmtId="3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top" shrinkToFit="1"/>
    </xf>
    <xf numFmtId="0" fontId="9" fillId="0" borderId="0" xfId="0" applyFont="1" applyBorder="1" applyAlignment="1">
      <alignment horizontal="left" vertical="center" shrinkToFit="1"/>
    </xf>
    <xf numFmtId="0" fontId="15" fillId="0" borderId="0" xfId="0" applyFont="1" applyAlignment="1">
      <alignment horizontal="left" vertical="top" shrinkToFit="1"/>
    </xf>
    <xf numFmtId="0" fontId="7" fillId="0" borderId="0" xfId="0" applyFont="1" applyBorder="1" applyAlignment="1">
      <alignment horizontal="left" vertical="center" wrapText="1" shrinkToFit="1"/>
    </xf>
    <xf numFmtId="0" fontId="7" fillId="0" borderId="0" xfId="0" applyFont="1" applyAlignment="1">
      <alignment horizontal="left" vertical="center" shrinkToFit="1"/>
    </xf>
  </cellXfs>
  <cellStyles count="6">
    <cellStyle name="표준" xfId="0" builtinId="0"/>
    <cellStyle name="표준 2" xfId="1"/>
    <cellStyle name="표준 2 2" xfId="4"/>
    <cellStyle name="표준 3" xfId="2"/>
    <cellStyle name="표준 3 2" xfId="5"/>
    <cellStyle name="표준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view="pageBreakPreview" topLeftCell="A5" zoomScaleNormal="100" zoomScaleSheetLayoutView="100" workbookViewId="0">
      <selection activeCell="E35" sqref="E35"/>
    </sheetView>
  </sheetViews>
  <sheetFormatPr defaultRowHeight="16.5" x14ac:dyDescent="0.3"/>
  <cols>
    <col min="1" max="2" width="14.375" style="1" customWidth="1"/>
    <col min="3" max="3" width="16.75" style="1" customWidth="1"/>
    <col min="4" max="5" width="14.375" style="1" customWidth="1"/>
    <col min="6" max="6" width="11.625" style="1" customWidth="1"/>
    <col min="7" max="16384" width="9" style="1"/>
  </cols>
  <sheetData>
    <row r="1" spans="1:5" x14ac:dyDescent="0.3">
      <c r="A1" s="35" t="s">
        <v>104</v>
      </c>
      <c r="B1" s="35"/>
      <c r="C1" s="35"/>
      <c r="D1" s="35"/>
      <c r="E1" s="35"/>
    </row>
    <row r="2" spans="1:5" x14ac:dyDescent="0.3">
      <c r="A2" s="2"/>
      <c r="E2" s="16" t="s">
        <v>73</v>
      </c>
    </row>
    <row r="3" spans="1:5" x14ac:dyDescent="0.3">
      <c r="A3" s="3" t="s">
        <v>1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s="4" t="s">
        <v>74</v>
      </c>
      <c r="B4" s="5">
        <v>831</v>
      </c>
      <c r="C4" s="5">
        <v>116</v>
      </c>
      <c r="D4" s="5">
        <f>SUM(B4:C4)</f>
        <v>947</v>
      </c>
      <c r="E4" s="6">
        <f t="shared" ref="E4:E31" si="0">C4/D4</f>
        <v>0.12249208025343189</v>
      </c>
    </row>
    <row r="5" spans="1:5" x14ac:dyDescent="0.3">
      <c r="A5" s="4" t="s">
        <v>75</v>
      </c>
      <c r="B5" s="5">
        <v>565</v>
      </c>
      <c r="C5" s="5">
        <v>478</v>
      </c>
      <c r="D5" s="7">
        <v>1043</v>
      </c>
      <c r="E5" s="6">
        <f t="shared" si="0"/>
        <v>0.45829338446788109</v>
      </c>
    </row>
    <row r="6" spans="1:5" x14ac:dyDescent="0.3">
      <c r="A6" s="4" t="s">
        <v>76</v>
      </c>
      <c r="B6" s="5">
        <v>510</v>
      </c>
      <c r="C6" s="5">
        <v>632</v>
      </c>
      <c r="D6" s="7">
        <v>1142</v>
      </c>
      <c r="E6" s="6">
        <f t="shared" si="0"/>
        <v>0.55341506129597196</v>
      </c>
    </row>
    <row r="7" spans="1:5" x14ac:dyDescent="0.3">
      <c r="A7" s="4" t="s">
        <v>77</v>
      </c>
      <c r="B7" s="5">
        <v>474</v>
      </c>
      <c r="C7" s="5">
        <v>811</v>
      </c>
      <c r="D7" s="7">
        <v>1285</v>
      </c>
      <c r="E7" s="6">
        <f t="shared" si="0"/>
        <v>0.63112840466926068</v>
      </c>
    </row>
    <row r="8" spans="1:5" x14ac:dyDescent="0.3">
      <c r="A8" s="4" t="s">
        <v>78</v>
      </c>
      <c r="B8" s="5">
        <v>626</v>
      </c>
      <c r="C8" s="7">
        <v>1272</v>
      </c>
      <c r="D8" s="7">
        <v>1898</v>
      </c>
      <c r="E8" s="6">
        <f t="shared" si="0"/>
        <v>0.67017913593256062</v>
      </c>
    </row>
    <row r="9" spans="1:5" x14ac:dyDescent="0.3">
      <c r="A9" s="4" t="s">
        <v>79</v>
      </c>
      <c r="B9" s="5">
        <v>424</v>
      </c>
      <c r="C9" s="5">
        <v>960</v>
      </c>
      <c r="D9" s="7">
        <v>1384</v>
      </c>
      <c r="E9" s="6">
        <f t="shared" si="0"/>
        <v>0.69364161849710981</v>
      </c>
    </row>
    <row r="10" spans="1:5" x14ac:dyDescent="0.3">
      <c r="A10" s="4" t="s">
        <v>80</v>
      </c>
      <c r="B10" s="5">
        <v>515</v>
      </c>
      <c r="C10" s="7">
        <v>1513</v>
      </c>
      <c r="D10" s="7">
        <v>2028</v>
      </c>
      <c r="E10" s="6">
        <f t="shared" si="0"/>
        <v>0.74605522682445757</v>
      </c>
    </row>
    <row r="11" spans="1:5" x14ac:dyDescent="0.3">
      <c r="A11" s="4" t="s">
        <v>81</v>
      </c>
      <c r="B11" s="5">
        <v>573</v>
      </c>
      <c r="C11" s="7">
        <v>1981</v>
      </c>
      <c r="D11" s="7">
        <v>2554</v>
      </c>
      <c r="E11" s="6">
        <f t="shared" si="0"/>
        <v>0.77564604541895066</v>
      </c>
    </row>
    <row r="12" spans="1:5" x14ac:dyDescent="0.3">
      <c r="A12" s="4" t="s">
        <v>82</v>
      </c>
      <c r="B12" s="5">
        <v>608</v>
      </c>
      <c r="C12" s="7">
        <v>2195</v>
      </c>
      <c r="D12" s="7">
        <v>2803</v>
      </c>
      <c r="E12" s="6">
        <f t="shared" si="0"/>
        <v>0.78308954691402066</v>
      </c>
    </row>
    <row r="13" spans="1:5" x14ac:dyDescent="0.3">
      <c r="A13" s="4" t="s">
        <v>83</v>
      </c>
      <c r="B13" s="5">
        <v>662</v>
      </c>
      <c r="C13" s="7">
        <v>2252</v>
      </c>
      <c r="D13" s="7">
        <v>2914</v>
      </c>
      <c r="E13" s="6">
        <f t="shared" si="0"/>
        <v>0.77282086479066581</v>
      </c>
    </row>
    <row r="14" spans="1:5" x14ac:dyDescent="0.3">
      <c r="A14" s="4" t="s">
        <v>84</v>
      </c>
      <c r="B14" s="5">
        <v>591</v>
      </c>
      <c r="C14" s="7">
        <v>1811</v>
      </c>
      <c r="D14" s="7">
        <v>2402</v>
      </c>
      <c r="E14" s="6">
        <f t="shared" si="0"/>
        <v>0.75395503746877601</v>
      </c>
    </row>
    <row r="15" spans="1:5" x14ac:dyDescent="0.3">
      <c r="A15" s="4" t="s">
        <v>85</v>
      </c>
      <c r="B15" s="5">
        <v>795</v>
      </c>
      <c r="C15" s="7">
        <v>1911</v>
      </c>
      <c r="D15" s="7">
        <v>2706</v>
      </c>
      <c r="E15" s="6">
        <f t="shared" si="0"/>
        <v>0.70620842572062081</v>
      </c>
    </row>
    <row r="16" spans="1:5" x14ac:dyDescent="0.3">
      <c r="A16" s="4" t="s">
        <v>86</v>
      </c>
      <c r="B16" s="5">
        <v>404</v>
      </c>
      <c r="C16" s="7">
        <v>1098</v>
      </c>
      <c r="D16" s="7">
        <v>1502</v>
      </c>
      <c r="E16" s="6">
        <f t="shared" si="0"/>
        <v>0.73102529960053264</v>
      </c>
    </row>
    <row r="17" spans="1:5" x14ac:dyDescent="0.3">
      <c r="A17" s="4" t="s">
        <v>87</v>
      </c>
      <c r="B17" s="5">
        <v>369</v>
      </c>
      <c r="C17" s="7">
        <v>1145</v>
      </c>
      <c r="D17" s="7">
        <v>1514</v>
      </c>
      <c r="E17" s="6">
        <f t="shared" si="0"/>
        <v>0.75627476882430644</v>
      </c>
    </row>
    <row r="18" spans="1:5" x14ac:dyDescent="0.3">
      <c r="A18" s="4" t="s">
        <v>88</v>
      </c>
      <c r="B18" s="5">
        <v>305</v>
      </c>
      <c r="C18" s="7">
        <v>1092</v>
      </c>
      <c r="D18" s="7">
        <v>1397</v>
      </c>
      <c r="E18" s="6">
        <f t="shared" si="0"/>
        <v>0.78167501789549032</v>
      </c>
    </row>
    <row r="19" spans="1:5" x14ac:dyDescent="0.3">
      <c r="A19" s="4" t="s">
        <v>89</v>
      </c>
      <c r="B19" s="5">
        <v>251</v>
      </c>
      <c r="C19" s="7">
        <v>1024</v>
      </c>
      <c r="D19" s="7">
        <v>1275</v>
      </c>
      <c r="E19" s="6">
        <f t="shared" si="0"/>
        <v>0.80313725490196075</v>
      </c>
    </row>
    <row r="20" spans="1:5" x14ac:dyDescent="0.3">
      <c r="A20" s="4" t="s">
        <v>90</v>
      </c>
      <c r="B20" s="5">
        <v>302</v>
      </c>
      <c r="C20" s="7">
        <v>1116</v>
      </c>
      <c r="D20" s="7">
        <v>1418</v>
      </c>
      <c r="E20" s="6">
        <f t="shared" si="0"/>
        <v>0.78702397743300423</v>
      </c>
    </row>
    <row r="21" spans="1:5" x14ac:dyDescent="0.3">
      <c r="A21" s="4" t="s">
        <v>91</v>
      </c>
      <c r="B21" s="5">
        <v>188</v>
      </c>
      <c r="C21" s="7">
        <v>939</v>
      </c>
      <c r="D21" s="7">
        <v>1127</v>
      </c>
      <c r="E21" s="6">
        <f t="shared" si="0"/>
        <v>0.83318544809228035</v>
      </c>
    </row>
    <row r="22" spans="1:5" x14ac:dyDescent="0.3">
      <c r="A22" s="4" t="s">
        <v>92</v>
      </c>
      <c r="B22" s="5">
        <v>168</v>
      </c>
      <c r="C22" s="7">
        <v>969</v>
      </c>
      <c r="D22" s="7">
        <v>1137</v>
      </c>
      <c r="E22" s="6">
        <f t="shared" si="0"/>
        <v>0.85224274406332456</v>
      </c>
    </row>
    <row r="23" spans="1:5" x14ac:dyDescent="0.3">
      <c r="A23" s="4" t="s">
        <v>93</v>
      </c>
      <c r="B23" s="5">
        <v>202</v>
      </c>
      <c r="C23" s="7">
        <v>845</v>
      </c>
      <c r="D23" s="7">
        <v>1047</v>
      </c>
      <c r="E23" s="6">
        <f t="shared" si="0"/>
        <v>0.80706781279847184</v>
      </c>
    </row>
    <row r="24" spans="1:5" x14ac:dyDescent="0.3">
      <c r="A24" s="4" t="s">
        <v>94</v>
      </c>
      <c r="B24" s="7">
        <v>72</v>
      </c>
      <c r="C24" s="7">
        <v>157</v>
      </c>
      <c r="D24" s="7">
        <v>229</v>
      </c>
      <c r="E24" s="6">
        <f t="shared" si="0"/>
        <v>0.68558951965065507</v>
      </c>
    </row>
    <row r="25" spans="1:5" x14ac:dyDescent="0.3">
      <c r="A25" s="4" t="s">
        <v>95</v>
      </c>
      <c r="B25" s="7">
        <v>40</v>
      </c>
      <c r="C25" s="7">
        <v>23</v>
      </c>
      <c r="D25" s="7">
        <v>63</v>
      </c>
      <c r="E25" s="6">
        <f t="shared" si="0"/>
        <v>0.36507936507936506</v>
      </c>
    </row>
    <row r="26" spans="1:5" x14ac:dyDescent="0.3">
      <c r="A26" s="4" t="s">
        <v>96</v>
      </c>
      <c r="B26" s="7">
        <v>35</v>
      </c>
      <c r="C26" s="7">
        <v>32</v>
      </c>
      <c r="D26" s="7">
        <v>67</v>
      </c>
      <c r="E26" s="6">
        <f t="shared" si="0"/>
        <v>0.47761194029850745</v>
      </c>
    </row>
    <row r="27" spans="1:5" x14ac:dyDescent="0.3">
      <c r="A27" s="4" t="s">
        <v>97</v>
      </c>
      <c r="B27" s="7">
        <v>32</v>
      </c>
      <c r="C27" s="7">
        <v>164</v>
      </c>
      <c r="D27" s="7">
        <v>196</v>
      </c>
      <c r="E27" s="6">
        <f t="shared" si="0"/>
        <v>0.83673469387755106</v>
      </c>
    </row>
    <row r="28" spans="1:5" x14ac:dyDescent="0.3">
      <c r="A28" s="4" t="s">
        <v>100</v>
      </c>
      <c r="B28" s="7">
        <v>26</v>
      </c>
      <c r="C28" s="7">
        <v>210</v>
      </c>
      <c r="D28" s="7">
        <f>B28+C28</f>
        <v>236</v>
      </c>
      <c r="E28" s="6">
        <f>C28/D28</f>
        <v>0.88983050847457623</v>
      </c>
    </row>
    <row r="29" spans="1:5" x14ac:dyDescent="0.3">
      <c r="A29" s="4" t="s">
        <v>101</v>
      </c>
      <c r="B29" s="7">
        <v>25</v>
      </c>
      <c r="C29" s="7">
        <v>198</v>
      </c>
      <c r="D29" s="7">
        <f t="shared" ref="D29:D30" si="1">B29+C29</f>
        <v>223</v>
      </c>
      <c r="E29" s="6">
        <f>C29/D29</f>
        <v>0.88789237668161436</v>
      </c>
    </row>
    <row r="30" spans="1:5" x14ac:dyDescent="0.3">
      <c r="A30" s="4" t="s">
        <v>103</v>
      </c>
      <c r="B30" s="7">
        <v>4</v>
      </c>
      <c r="C30" s="7">
        <v>59</v>
      </c>
      <c r="D30" s="7">
        <f t="shared" si="1"/>
        <v>63</v>
      </c>
      <c r="E30" s="6">
        <f>C30/D30</f>
        <v>0.93650793650793651</v>
      </c>
    </row>
    <row r="31" spans="1:5" x14ac:dyDescent="0.3">
      <c r="A31" s="4" t="s">
        <v>2</v>
      </c>
      <c r="B31" s="7">
        <f>SUM(B4:B30)</f>
        <v>9597</v>
      </c>
      <c r="C31" s="7">
        <f>SUM(C4:C30)</f>
        <v>25003</v>
      </c>
      <c r="D31" s="7">
        <f>SUM(D4:D30)</f>
        <v>34600</v>
      </c>
      <c r="E31" s="6">
        <f t="shared" si="0"/>
        <v>0.72263005780346823</v>
      </c>
    </row>
    <row r="33" spans="1:6" x14ac:dyDescent="0.3">
      <c r="A33" s="35" t="s">
        <v>112</v>
      </c>
      <c r="B33" s="35"/>
      <c r="C33" s="35"/>
      <c r="D33" s="35"/>
    </row>
    <row r="34" spans="1:6" x14ac:dyDescent="0.3">
      <c r="A34" s="2"/>
      <c r="D34" s="16" t="s">
        <v>73</v>
      </c>
    </row>
    <row r="35" spans="1:6" x14ac:dyDescent="0.3">
      <c r="A35" s="3" t="s">
        <v>1</v>
      </c>
      <c r="B35" s="3" t="s">
        <v>16</v>
      </c>
      <c r="C35" s="3" t="s">
        <v>17</v>
      </c>
      <c r="D35" s="3" t="s">
        <v>7</v>
      </c>
      <c r="E35" s="9"/>
    </row>
    <row r="36" spans="1:6" x14ac:dyDescent="0.3">
      <c r="A36" s="8" t="s">
        <v>9</v>
      </c>
      <c r="B36" s="28">
        <v>653</v>
      </c>
      <c r="C36" s="28">
        <v>646</v>
      </c>
      <c r="D36" s="28">
        <f t="shared" ref="D36:D42" si="2">SUM(B36:C36)</f>
        <v>1299</v>
      </c>
      <c r="E36" s="10"/>
    </row>
    <row r="37" spans="1:6" x14ac:dyDescent="0.3">
      <c r="A37" s="8" t="s">
        <v>10</v>
      </c>
      <c r="B37" s="28">
        <v>1716</v>
      </c>
      <c r="C37" s="28">
        <v>2117</v>
      </c>
      <c r="D37" s="28">
        <f t="shared" si="2"/>
        <v>3833</v>
      </c>
      <c r="E37" s="10"/>
    </row>
    <row r="38" spans="1:6" x14ac:dyDescent="0.3">
      <c r="A38" s="8" t="s">
        <v>11</v>
      </c>
      <c r="B38" s="28">
        <v>2650</v>
      </c>
      <c r="C38" s="28">
        <v>7059</v>
      </c>
      <c r="D38" s="28">
        <f t="shared" si="2"/>
        <v>9709</v>
      </c>
      <c r="E38" s="10"/>
    </row>
    <row r="39" spans="1:6" x14ac:dyDescent="0.3">
      <c r="A39" s="8" t="s">
        <v>12</v>
      </c>
      <c r="B39" s="28">
        <v>2181</v>
      </c>
      <c r="C39" s="28">
        <v>7754</v>
      </c>
      <c r="D39" s="28">
        <f t="shared" si="2"/>
        <v>9935</v>
      </c>
      <c r="E39" s="10"/>
    </row>
    <row r="40" spans="1:6" x14ac:dyDescent="0.3">
      <c r="A40" s="8" t="s">
        <v>13</v>
      </c>
      <c r="B40" s="28">
        <v>1414</v>
      </c>
      <c r="C40" s="28">
        <v>4785</v>
      </c>
      <c r="D40" s="28">
        <f t="shared" si="2"/>
        <v>6199</v>
      </c>
      <c r="E40" s="10"/>
    </row>
    <row r="41" spans="1:6" x14ac:dyDescent="0.3">
      <c r="A41" s="8" t="s">
        <v>14</v>
      </c>
      <c r="B41" s="28">
        <v>614</v>
      </c>
      <c r="C41" s="28">
        <v>1566</v>
      </c>
      <c r="D41" s="28">
        <f t="shared" si="2"/>
        <v>2180</v>
      </c>
      <c r="E41" s="10"/>
    </row>
    <row r="42" spans="1:6" x14ac:dyDescent="0.3">
      <c r="A42" s="8" t="s">
        <v>15</v>
      </c>
      <c r="B42" s="28">
        <v>362</v>
      </c>
      <c r="C42" s="28">
        <v>1019</v>
      </c>
      <c r="D42" s="28">
        <f t="shared" si="2"/>
        <v>1381</v>
      </c>
      <c r="E42" s="10"/>
    </row>
    <row r="43" spans="1:6" x14ac:dyDescent="0.3">
      <c r="A43" s="8" t="s">
        <v>0</v>
      </c>
      <c r="B43" s="28">
        <f>SUM(B36:B42)</f>
        <v>9590</v>
      </c>
      <c r="C43" s="28">
        <f>SUM(C36:C42)</f>
        <v>24946</v>
      </c>
      <c r="D43" s="28">
        <f>SUM(D36:D42)</f>
        <v>34536</v>
      </c>
      <c r="E43" s="10"/>
    </row>
    <row r="44" spans="1:6" x14ac:dyDescent="0.3">
      <c r="A44" s="34" t="s">
        <v>102</v>
      </c>
      <c r="B44" s="34"/>
      <c r="C44" s="34"/>
      <c r="D44" s="34"/>
      <c r="E44" s="34"/>
      <c r="F44" s="34"/>
    </row>
    <row r="45" spans="1:6" x14ac:dyDescent="0.3">
      <c r="A45" s="18"/>
      <c r="B45" s="18"/>
      <c r="C45" s="18"/>
      <c r="D45" s="18"/>
      <c r="E45" s="18"/>
      <c r="F45" s="18"/>
    </row>
    <row r="46" spans="1:6" x14ac:dyDescent="0.3">
      <c r="A46" s="18"/>
      <c r="B46" s="18"/>
      <c r="C46" s="18"/>
      <c r="D46" s="18"/>
      <c r="E46" s="18"/>
      <c r="F46" s="18"/>
    </row>
    <row r="47" spans="1:6" x14ac:dyDescent="0.3">
      <c r="A47" s="35" t="s">
        <v>105</v>
      </c>
      <c r="B47" s="35"/>
      <c r="C47" s="35"/>
      <c r="D47" s="35"/>
    </row>
    <row r="48" spans="1:6" x14ac:dyDescent="0.3">
      <c r="A48" s="2"/>
      <c r="D48" s="16" t="s">
        <v>73</v>
      </c>
    </row>
    <row r="49" spans="1:6" x14ac:dyDescent="0.3">
      <c r="A49" s="3" t="s">
        <v>1</v>
      </c>
      <c r="B49" s="3" t="s">
        <v>16</v>
      </c>
      <c r="C49" s="3" t="s">
        <v>17</v>
      </c>
      <c r="D49" s="3" t="s">
        <v>7</v>
      </c>
    </row>
    <row r="50" spans="1:6" x14ac:dyDescent="0.3">
      <c r="A50" s="8" t="s">
        <v>18</v>
      </c>
      <c r="B50" s="29">
        <v>421</v>
      </c>
      <c r="C50" s="29">
        <v>144</v>
      </c>
      <c r="D50" s="30">
        <f t="shared" ref="D50:D57" si="3">SUM(B50:C50)</f>
        <v>565</v>
      </c>
    </row>
    <row r="51" spans="1:6" x14ac:dyDescent="0.3">
      <c r="A51" s="8" t="s">
        <v>19</v>
      </c>
      <c r="B51" s="29">
        <v>725</v>
      </c>
      <c r="C51" s="29">
        <v>175</v>
      </c>
      <c r="D51" s="30">
        <f t="shared" si="3"/>
        <v>900</v>
      </c>
    </row>
    <row r="52" spans="1:6" x14ac:dyDescent="0.3">
      <c r="A52" s="8" t="s">
        <v>20</v>
      </c>
      <c r="B52" s="28">
        <v>4219</v>
      </c>
      <c r="C52" s="28">
        <v>9557</v>
      </c>
      <c r="D52" s="30">
        <f t="shared" si="3"/>
        <v>13776</v>
      </c>
    </row>
    <row r="53" spans="1:6" x14ac:dyDescent="0.3">
      <c r="A53" s="8" t="s">
        <v>21</v>
      </c>
      <c r="B53" s="28">
        <v>3221</v>
      </c>
      <c r="C53" s="28">
        <v>12094</v>
      </c>
      <c r="D53" s="30">
        <f t="shared" si="3"/>
        <v>15315</v>
      </c>
    </row>
    <row r="54" spans="1:6" x14ac:dyDescent="0.3">
      <c r="A54" s="8" t="s">
        <v>22</v>
      </c>
      <c r="B54" s="29">
        <v>95</v>
      </c>
      <c r="C54" s="28">
        <v>1500</v>
      </c>
      <c r="D54" s="30">
        <f t="shared" si="3"/>
        <v>1595</v>
      </c>
    </row>
    <row r="55" spans="1:6" x14ac:dyDescent="0.3">
      <c r="A55" s="8" t="s">
        <v>23</v>
      </c>
      <c r="B55" s="29">
        <v>83</v>
      </c>
      <c r="C55" s="29">
        <v>226</v>
      </c>
      <c r="D55" s="30">
        <f t="shared" si="3"/>
        <v>309</v>
      </c>
    </row>
    <row r="56" spans="1:6" x14ac:dyDescent="0.3">
      <c r="A56" s="8" t="s">
        <v>24</v>
      </c>
      <c r="B56" s="29">
        <v>249</v>
      </c>
      <c r="C56" s="29">
        <v>543</v>
      </c>
      <c r="D56" s="30">
        <f t="shared" si="3"/>
        <v>792</v>
      </c>
    </row>
    <row r="57" spans="1:6" x14ac:dyDescent="0.3">
      <c r="A57" s="8" t="s">
        <v>70</v>
      </c>
      <c r="B57" s="29">
        <v>577</v>
      </c>
      <c r="C57" s="29">
        <v>707</v>
      </c>
      <c r="D57" s="30">
        <f t="shared" si="3"/>
        <v>1284</v>
      </c>
    </row>
    <row r="58" spans="1:6" x14ac:dyDescent="0.3">
      <c r="A58" s="8" t="s">
        <v>0</v>
      </c>
      <c r="B58" s="28">
        <f>SUM(B50:B57)</f>
        <v>9590</v>
      </c>
      <c r="C58" s="28">
        <f>SUM(C50:C57)</f>
        <v>24946</v>
      </c>
      <c r="D58" s="28">
        <f>SUM(D50:D57)</f>
        <v>34536</v>
      </c>
    </row>
    <row r="59" spans="1:6" ht="27.75" customHeight="1" x14ac:dyDescent="0.3">
      <c r="A59" s="38" t="s">
        <v>99</v>
      </c>
      <c r="B59" s="38"/>
      <c r="C59" s="38"/>
      <c r="D59" s="38"/>
      <c r="E59" s="38"/>
      <c r="F59" s="38"/>
    </row>
    <row r="61" spans="1:6" x14ac:dyDescent="0.3">
      <c r="A61" s="35" t="s">
        <v>106</v>
      </c>
      <c r="B61" s="35"/>
      <c r="C61" s="35"/>
      <c r="D61" s="35"/>
    </row>
    <row r="62" spans="1:6" x14ac:dyDescent="0.3">
      <c r="A62" s="2"/>
      <c r="D62" s="16" t="s">
        <v>73</v>
      </c>
    </row>
    <row r="63" spans="1:6" x14ac:dyDescent="0.3">
      <c r="A63" s="3" t="s">
        <v>1</v>
      </c>
      <c r="B63" s="3" t="s">
        <v>16</v>
      </c>
      <c r="C63" s="3" t="s">
        <v>17</v>
      </c>
      <c r="D63" s="3" t="s">
        <v>7</v>
      </c>
    </row>
    <row r="64" spans="1:6" x14ac:dyDescent="0.3">
      <c r="A64" s="8" t="s">
        <v>58</v>
      </c>
      <c r="B64" s="29">
        <v>419</v>
      </c>
      <c r="C64" s="29">
        <v>406</v>
      </c>
      <c r="D64" s="29">
        <f t="shared" ref="D64:D72" si="4">SUM(B64:C64)</f>
        <v>825</v>
      </c>
    </row>
    <row r="65" spans="1:8" x14ac:dyDescent="0.3">
      <c r="A65" s="8" t="s">
        <v>25</v>
      </c>
      <c r="B65" s="29">
        <v>135</v>
      </c>
      <c r="C65" s="29">
        <v>223</v>
      </c>
      <c r="D65" s="29">
        <f t="shared" si="4"/>
        <v>358</v>
      </c>
    </row>
    <row r="66" spans="1:8" x14ac:dyDescent="0.3">
      <c r="A66" s="8" t="s">
        <v>59</v>
      </c>
      <c r="B66" s="29">
        <v>807</v>
      </c>
      <c r="C66" s="28">
        <v>1544</v>
      </c>
      <c r="D66" s="28">
        <f t="shared" si="4"/>
        <v>2351</v>
      </c>
    </row>
    <row r="67" spans="1:8" x14ac:dyDescent="0.3">
      <c r="A67" s="8" t="s">
        <v>66</v>
      </c>
      <c r="B67" s="28">
        <v>5782</v>
      </c>
      <c r="C67" s="28">
        <v>18127</v>
      </c>
      <c r="D67" s="28">
        <f t="shared" si="4"/>
        <v>23909</v>
      </c>
    </row>
    <row r="68" spans="1:8" x14ac:dyDescent="0.3">
      <c r="A68" s="8" t="s">
        <v>26</v>
      </c>
      <c r="B68" s="29">
        <v>872</v>
      </c>
      <c r="C68" s="28">
        <v>2778</v>
      </c>
      <c r="D68" s="28">
        <f t="shared" si="4"/>
        <v>3650</v>
      </c>
    </row>
    <row r="69" spans="1:8" x14ac:dyDescent="0.3">
      <c r="A69" s="8" t="s">
        <v>27</v>
      </c>
      <c r="B69" s="30">
        <v>1162</v>
      </c>
      <c r="C69" s="28">
        <v>1243</v>
      </c>
      <c r="D69" s="28">
        <f t="shared" si="4"/>
        <v>2405</v>
      </c>
    </row>
    <row r="70" spans="1:8" x14ac:dyDescent="0.3">
      <c r="A70" s="8" t="s">
        <v>28</v>
      </c>
      <c r="B70" s="29">
        <v>362</v>
      </c>
      <c r="C70" s="29">
        <v>523</v>
      </c>
      <c r="D70" s="29">
        <f t="shared" si="4"/>
        <v>885</v>
      </c>
    </row>
    <row r="71" spans="1:8" x14ac:dyDescent="0.3">
      <c r="A71" s="8" t="s">
        <v>67</v>
      </c>
      <c r="B71" s="31">
        <v>51</v>
      </c>
      <c r="C71" s="31">
        <v>102</v>
      </c>
      <c r="D71" s="31">
        <f t="shared" si="4"/>
        <v>153</v>
      </c>
    </row>
    <row r="72" spans="1:8" ht="18" customHeight="1" x14ac:dyDescent="0.3">
      <c r="A72" s="8" t="s">
        <v>0</v>
      </c>
      <c r="B72" s="32">
        <f>SUM(B64:B71)</f>
        <v>9590</v>
      </c>
      <c r="C72" s="32">
        <f>SUM(C64:C71)</f>
        <v>24946</v>
      </c>
      <c r="D72" s="32">
        <f t="shared" si="4"/>
        <v>34536</v>
      </c>
      <c r="G72" s="14"/>
      <c r="H72" s="14"/>
    </row>
    <row r="73" spans="1:8" x14ac:dyDescent="0.3">
      <c r="A73" s="33" t="s">
        <v>62</v>
      </c>
      <c r="B73" s="33"/>
      <c r="C73" s="33"/>
      <c r="D73" s="33"/>
      <c r="E73" s="33"/>
      <c r="F73" s="33"/>
    </row>
    <row r="74" spans="1:8" x14ac:dyDescent="0.3">
      <c r="A74" s="39" t="s">
        <v>60</v>
      </c>
      <c r="B74" s="39"/>
      <c r="C74" s="39"/>
      <c r="D74" s="39"/>
      <c r="E74" s="39"/>
      <c r="F74" s="39"/>
    </row>
    <row r="76" spans="1:8" x14ac:dyDescent="0.3">
      <c r="A76" s="35" t="s">
        <v>107</v>
      </c>
      <c r="B76" s="35"/>
      <c r="C76" s="35"/>
      <c r="D76" s="35"/>
    </row>
    <row r="77" spans="1:8" x14ac:dyDescent="0.3">
      <c r="A77" s="2"/>
      <c r="D77" s="16" t="s">
        <v>73</v>
      </c>
      <c r="G77" s="17"/>
      <c r="H77" s="17"/>
    </row>
    <row r="78" spans="1:8" x14ac:dyDescent="0.3">
      <c r="A78" s="3" t="s">
        <v>1</v>
      </c>
      <c r="B78" s="3" t="s">
        <v>16</v>
      </c>
      <c r="C78" s="3" t="s">
        <v>17</v>
      </c>
      <c r="D78" s="3" t="s">
        <v>7</v>
      </c>
      <c r="G78" s="17"/>
      <c r="H78" s="17"/>
    </row>
    <row r="79" spans="1:8" x14ac:dyDescent="0.3">
      <c r="A79" s="8" t="s">
        <v>29</v>
      </c>
      <c r="B79" s="29">
        <v>228</v>
      </c>
      <c r="C79" s="29">
        <v>390</v>
      </c>
      <c r="D79" s="29">
        <f t="shared" ref="D79:D91" si="5">SUM(B79:C79)</f>
        <v>618</v>
      </c>
      <c r="G79" s="17"/>
      <c r="H79" s="17"/>
    </row>
    <row r="80" spans="1:8" x14ac:dyDescent="0.3">
      <c r="A80" s="8" t="s">
        <v>30</v>
      </c>
      <c r="B80" s="29">
        <v>78</v>
      </c>
      <c r="C80" s="29">
        <v>95</v>
      </c>
      <c r="D80" s="29">
        <f t="shared" si="5"/>
        <v>173</v>
      </c>
      <c r="G80" s="17"/>
      <c r="H80" s="17"/>
    </row>
    <row r="81" spans="1:8" x14ac:dyDescent="0.3">
      <c r="A81" s="8" t="s">
        <v>31</v>
      </c>
      <c r="B81" s="28">
        <v>1567</v>
      </c>
      <c r="C81" s="28">
        <v>4673</v>
      </c>
      <c r="D81" s="28">
        <f t="shared" si="5"/>
        <v>6240</v>
      </c>
      <c r="G81" s="17"/>
      <c r="H81" s="17"/>
    </row>
    <row r="82" spans="1:8" x14ac:dyDescent="0.3">
      <c r="A82" s="8" t="s">
        <v>32</v>
      </c>
      <c r="B82" s="29">
        <v>80</v>
      </c>
      <c r="C82" s="29">
        <v>172</v>
      </c>
      <c r="D82" s="29">
        <f t="shared" si="5"/>
        <v>252</v>
      </c>
      <c r="G82" s="17"/>
      <c r="H82" s="17"/>
    </row>
    <row r="83" spans="1:8" x14ac:dyDescent="0.3">
      <c r="A83" s="8" t="s">
        <v>33</v>
      </c>
      <c r="B83" s="29">
        <v>466</v>
      </c>
      <c r="C83" s="29">
        <v>667</v>
      </c>
      <c r="D83" s="28">
        <f t="shared" si="5"/>
        <v>1133</v>
      </c>
      <c r="G83" s="17"/>
      <c r="H83" s="17"/>
    </row>
    <row r="84" spans="1:8" x14ac:dyDescent="0.3">
      <c r="A84" s="8" t="s">
        <v>34</v>
      </c>
      <c r="B84" s="29">
        <v>380</v>
      </c>
      <c r="C84" s="29">
        <v>516</v>
      </c>
      <c r="D84" s="29">
        <f t="shared" si="5"/>
        <v>896</v>
      </c>
      <c r="G84" s="17"/>
      <c r="H84" s="17"/>
    </row>
    <row r="85" spans="1:8" x14ac:dyDescent="0.3">
      <c r="A85" s="8" t="s">
        <v>35</v>
      </c>
      <c r="B85" s="29">
        <v>527</v>
      </c>
      <c r="C85" s="29">
        <v>370</v>
      </c>
      <c r="D85" s="29">
        <f t="shared" si="5"/>
        <v>897</v>
      </c>
    </row>
    <row r="86" spans="1:8" x14ac:dyDescent="0.3">
      <c r="A86" s="8" t="s">
        <v>36</v>
      </c>
      <c r="B86" s="29">
        <v>784</v>
      </c>
      <c r="C86" s="28">
        <v>2156</v>
      </c>
      <c r="D86" s="28">
        <f t="shared" si="5"/>
        <v>2940</v>
      </c>
    </row>
    <row r="87" spans="1:8" x14ac:dyDescent="0.3">
      <c r="A87" s="8" t="s">
        <v>37</v>
      </c>
      <c r="B87" s="28">
        <v>4871</v>
      </c>
      <c r="C87" s="28">
        <v>15236</v>
      </c>
      <c r="D87" s="28">
        <f t="shared" si="5"/>
        <v>20107</v>
      </c>
    </row>
    <row r="88" spans="1:8" x14ac:dyDescent="0.3">
      <c r="A88" s="8" t="s">
        <v>38</v>
      </c>
      <c r="B88" s="29">
        <v>276</v>
      </c>
      <c r="C88" s="29">
        <v>215</v>
      </c>
      <c r="D88" s="29">
        <f t="shared" si="5"/>
        <v>491</v>
      </c>
    </row>
    <row r="89" spans="1:8" x14ac:dyDescent="0.3">
      <c r="A89" s="8" t="s">
        <v>39</v>
      </c>
      <c r="B89" s="29">
        <v>190</v>
      </c>
      <c r="C89" s="29">
        <v>290</v>
      </c>
      <c r="D89" s="29">
        <f t="shared" si="5"/>
        <v>480</v>
      </c>
    </row>
    <row r="90" spans="1:8" x14ac:dyDescent="0.3">
      <c r="A90" s="8" t="s">
        <v>4</v>
      </c>
      <c r="B90" s="29">
        <v>48</v>
      </c>
      <c r="C90" s="29">
        <v>35</v>
      </c>
      <c r="D90" s="29">
        <f t="shared" si="5"/>
        <v>83</v>
      </c>
    </row>
    <row r="91" spans="1:8" x14ac:dyDescent="0.3">
      <c r="A91" s="8" t="s">
        <v>68</v>
      </c>
      <c r="B91" s="29">
        <v>95</v>
      </c>
      <c r="C91" s="29">
        <v>131</v>
      </c>
      <c r="D91" s="29">
        <f t="shared" si="5"/>
        <v>226</v>
      </c>
    </row>
    <row r="92" spans="1:8" x14ac:dyDescent="0.3">
      <c r="A92" s="8" t="s">
        <v>0</v>
      </c>
      <c r="B92" s="28">
        <f>SUM(B79:B91)</f>
        <v>9590</v>
      </c>
      <c r="C92" s="28">
        <f>SUM(C79:C91)</f>
        <v>24946</v>
      </c>
      <c r="D92" s="28">
        <f>SUM(D79:D91)</f>
        <v>34536</v>
      </c>
    </row>
    <row r="93" spans="1:8" x14ac:dyDescent="0.3">
      <c r="A93" s="33" t="s">
        <v>63</v>
      </c>
      <c r="B93" s="33"/>
      <c r="C93" s="33"/>
      <c r="D93" s="33"/>
    </row>
    <row r="94" spans="1:8" x14ac:dyDescent="0.3">
      <c r="A94" s="23"/>
      <c r="B94" s="23"/>
      <c r="C94" s="23"/>
      <c r="D94" s="23"/>
    </row>
    <row r="95" spans="1:8" x14ac:dyDescent="0.3">
      <c r="A95" s="37" t="s">
        <v>109</v>
      </c>
      <c r="B95" s="37"/>
      <c r="C95" s="37"/>
      <c r="D95" s="37"/>
      <c r="E95" s="19"/>
      <c r="F95" s="19"/>
    </row>
    <row r="96" spans="1:8" x14ac:dyDescent="0.3">
      <c r="A96" s="20"/>
      <c r="B96" s="19"/>
      <c r="C96" s="19"/>
      <c r="D96" s="24" t="s">
        <v>73</v>
      </c>
      <c r="E96" s="19"/>
      <c r="F96" s="19"/>
    </row>
    <row r="97" spans="1:6" x14ac:dyDescent="0.3">
      <c r="A97" s="3" t="s">
        <v>1</v>
      </c>
      <c r="B97" s="3" t="s">
        <v>16</v>
      </c>
      <c r="C97" s="3" t="s">
        <v>17</v>
      </c>
      <c r="D97" s="3" t="s">
        <v>7</v>
      </c>
      <c r="E97" s="21"/>
      <c r="F97" s="19"/>
    </row>
    <row r="98" spans="1:6" x14ac:dyDescent="0.3">
      <c r="A98" s="8" t="s">
        <v>9</v>
      </c>
      <c r="B98" s="28">
        <v>5</v>
      </c>
      <c r="C98" s="28">
        <v>7</v>
      </c>
      <c r="D98" s="28">
        <f t="shared" ref="D98:D105" si="6">SUM(B98:C98)</f>
        <v>12</v>
      </c>
      <c r="E98" s="22"/>
      <c r="F98" s="19"/>
    </row>
    <row r="99" spans="1:6" x14ac:dyDescent="0.3">
      <c r="A99" s="8" t="s">
        <v>10</v>
      </c>
      <c r="B99" s="28">
        <v>191</v>
      </c>
      <c r="C99" s="28">
        <v>182</v>
      </c>
      <c r="D99" s="28">
        <f t="shared" si="6"/>
        <v>373</v>
      </c>
      <c r="E99" s="22"/>
      <c r="F99" s="19"/>
    </row>
    <row r="100" spans="1:6" x14ac:dyDescent="0.3">
      <c r="A100" s="8" t="s">
        <v>11</v>
      </c>
      <c r="B100" s="28">
        <v>845</v>
      </c>
      <c r="C100" s="28">
        <v>1053</v>
      </c>
      <c r="D100" s="28">
        <f t="shared" si="6"/>
        <v>1898</v>
      </c>
      <c r="E100" s="22"/>
      <c r="F100" s="19"/>
    </row>
    <row r="101" spans="1:6" x14ac:dyDescent="0.3">
      <c r="A101" s="8" t="s">
        <v>12</v>
      </c>
      <c r="B101" s="28">
        <v>1902</v>
      </c>
      <c r="C101" s="28">
        <v>4690</v>
      </c>
      <c r="D101" s="28">
        <f t="shared" si="6"/>
        <v>6592</v>
      </c>
      <c r="E101" s="22"/>
      <c r="F101" s="19"/>
    </row>
    <row r="102" spans="1:6" x14ac:dyDescent="0.3">
      <c r="A102" s="8" t="s">
        <v>13</v>
      </c>
      <c r="B102" s="28">
        <v>1859</v>
      </c>
      <c r="C102" s="28">
        <v>6365</v>
      </c>
      <c r="D102" s="28">
        <f t="shared" si="6"/>
        <v>8224</v>
      </c>
      <c r="E102" s="22"/>
      <c r="F102" s="19"/>
    </row>
    <row r="103" spans="1:6" x14ac:dyDescent="0.3">
      <c r="A103" s="8" t="s">
        <v>14</v>
      </c>
      <c r="B103" s="28">
        <v>1866</v>
      </c>
      <c r="C103" s="28">
        <v>7854</v>
      </c>
      <c r="D103" s="28">
        <f t="shared" si="6"/>
        <v>9720</v>
      </c>
      <c r="E103" s="22"/>
      <c r="F103" s="19"/>
    </row>
    <row r="104" spans="1:6" x14ac:dyDescent="0.3">
      <c r="A104" s="8" t="s">
        <v>15</v>
      </c>
      <c r="B104" s="28">
        <v>1666</v>
      </c>
      <c r="C104" s="28">
        <v>4020</v>
      </c>
      <c r="D104" s="28">
        <f t="shared" si="6"/>
        <v>5686</v>
      </c>
      <c r="E104" s="22"/>
      <c r="F104" s="19"/>
    </row>
    <row r="105" spans="1:6" x14ac:dyDescent="0.3">
      <c r="A105" s="8" t="s">
        <v>0</v>
      </c>
      <c r="B105" s="28">
        <f>SUM(B98:B104)</f>
        <v>8334</v>
      </c>
      <c r="C105" s="28">
        <f>SUM(C98:C104)</f>
        <v>24171</v>
      </c>
      <c r="D105" s="28">
        <f t="shared" si="6"/>
        <v>32505</v>
      </c>
      <c r="E105" s="25"/>
      <c r="F105" s="19"/>
    </row>
    <row r="106" spans="1:6" x14ac:dyDescent="0.3">
      <c r="A106" s="34" t="s">
        <v>108</v>
      </c>
      <c r="B106" s="34"/>
      <c r="C106" s="34"/>
      <c r="D106" s="34"/>
      <c r="E106" s="34"/>
      <c r="F106" s="34"/>
    </row>
    <row r="107" spans="1:6" x14ac:dyDescent="0.3">
      <c r="A107" s="36"/>
      <c r="B107" s="36"/>
      <c r="C107" s="36"/>
      <c r="D107" s="36"/>
      <c r="E107" s="18"/>
      <c r="F107" s="18"/>
    </row>
    <row r="109" spans="1:6" x14ac:dyDescent="0.3">
      <c r="A109" s="35" t="s">
        <v>110</v>
      </c>
      <c r="B109" s="35"/>
      <c r="C109" s="35"/>
      <c r="D109" s="35"/>
    </row>
    <row r="110" spans="1:6" x14ac:dyDescent="0.3">
      <c r="A110" s="2"/>
      <c r="D110" s="16" t="s">
        <v>73</v>
      </c>
    </row>
    <row r="111" spans="1:6" x14ac:dyDescent="0.3">
      <c r="A111" s="3" t="s">
        <v>40</v>
      </c>
      <c r="B111" s="3" t="s">
        <v>16</v>
      </c>
      <c r="C111" s="3" t="s">
        <v>17</v>
      </c>
      <c r="D111" s="3" t="s">
        <v>2</v>
      </c>
    </row>
    <row r="112" spans="1:6" x14ac:dyDescent="0.3">
      <c r="A112" s="8" t="s">
        <v>41</v>
      </c>
      <c r="B112" s="28">
        <v>1945</v>
      </c>
      <c r="C112" s="28">
        <v>4318</v>
      </c>
      <c r="D112" s="28">
        <f t="shared" ref="D112:D127" si="7">SUM(B112:C112)</f>
        <v>6263</v>
      </c>
    </row>
    <row r="113" spans="1:5" x14ac:dyDescent="0.3">
      <c r="A113" s="8" t="s">
        <v>42</v>
      </c>
      <c r="B113" s="28">
        <v>2825</v>
      </c>
      <c r="C113" s="28">
        <v>8540</v>
      </c>
      <c r="D113" s="28">
        <f t="shared" si="7"/>
        <v>11365</v>
      </c>
    </row>
    <row r="114" spans="1:5" x14ac:dyDescent="0.3">
      <c r="A114" s="8" t="s">
        <v>43</v>
      </c>
      <c r="B114" s="29">
        <v>791</v>
      </c>
      <c r="C114" s="28">
        <v>2220</v>
      </c>
      <c r="D114" s="28">
        <f t="shared" si="7"/>
        <v>3011</v>
      </c>
    </row>
    <row r="115" spans="1:5" x14ac:dyDescent="0.3">
      <c r="A115" s="8" t="s">
        <v>44</v>
      </c>
      <c r="B115" s="29">
        <v>196</v>
      </c>
      <c r="C115" s="30">
        <v>618</v>
      </c>
      <c r="D115" s="28">
        <f t="shared" si="7"/>
        <v>814</v>
      </c>
    </row>
    <row r="116" spans="1:5" x14ac:dyDescent="0.3">
      <c r="A116" s="8" t="s">
        <v>45</v>
      </c>
      <c r="B116" s="29">
        <v>236</v>
      </c>
      <c r="C116" s="30">
        <v>908</v>
      </c>
      <c r="D116" s="28">
        <f t="shared" si="7"/>
        <v>1144</v>
      </c>
    </row>
    <row r="117" spans="1:5" x14ac:dyDescent="0.3">
      <c r="A117" s="8" t="s">
        <v>46</v>
      </c>
      <c r="B117" s="29">
        <v>226</v>
      </c>
      <c r="C117" s="30">
        <v>813</v>
      </c>
      <c r="D117" s="28">
        <f t="shared" si="7"/>
        <v>1039</v>
      </c>
    </row>
    <row r="118" spans="1:5" x14ac:dyDescent="0.3">
      <c r="A118" s="8" t="s">
        <v>47</v>
      </c>
      <c r="B118" s="29">
        <v>122</v>
      </c>
      <c r="C118" s="30">
        <v>474</v>
      </c>
      <c r="D118" s="28">
        <f t="shared" si="7"/>
        <v>596</v>
      </c>
    </row>
    <row r="119" spans="1:5" x14ac:dyDescent="0.3">
      <c r="A119" s="8" t="s">
        <v>48</v>
      </c>
      <c r="B119" s="29">
        <v>295</v>
      </c>
      <c r="C119" s="30">
        <v>1146</v>
      </c>
      <c r="D119" s="28">
        <f t="shared" si="7"/>
        <v>1441</v>
      </c>
    </row>
    <row r="120" spans="1:5" x14ac:dyDescent="0.3">
      <c r="A120" s="8" t="s">
        <v>49</v>
      </c>
      <c r="B120" s="29">
        <v>375</v>
      </c>
      <c r="C120" s="30">
        <v>1472</v>
      </c>
      <c r="D120" s="30">
        <f t="shared" si="7"/>
        <v>1847</v>
      </c>
    </row>
    <row r="121" spans="1:5" x14ac:dyDescent="0.3">
      <c r="A121" s="8" t="s">
        <v>50</v>
      </c>
      <c r="B121" s="29">
        <v>110</v>
      </c>
      <c r="C121" s="29">
        <v>393</v>
      </c>
      <c r="D121" s="29">
        <f t="shared" si="7"/>
        <v>503</v>
      </c>
    </row>
    <row r="122" spans="1:5" x14ac:dyDescent="0.3">
      <c r="A122" s="8" t="s">
        <v>29</v>
      </c>
      <c r="B122" s="29">
        <v>211</v>
      </c>
      <c r="C122" s="29">
        <v>725</v>
      </c>
      <c r="D122" s="29">
        <f t="shared" si="7"/>
        <v>936</v>
      </c>
    </row>
    <row r="123" spans="1:5" x14ac:dyDescent="0.3">
      <c r="A123" s="8" t="s">
        <v>51</v>
      </c>
      <c r="B123" s="29">
        <v>119</v>
      </c>
      <c r="C123" s="29">
        <v>452</v>
      </c>
      <c r="D123" s="29">
        <f t="shared" si="7"/>
        <v>571</v>
      </c>
    </row>
    <row r="124" spans="1:5" x14ac:dyDescent="0.3">
      <c r="A124" s="8" t="s">
        <v>52</v>
      </c>
      <c r="B124" s="29">
        <v>126</v>
      </c>
      <c r="C124" s="29">
        <v>548</v>
      </c>
      <c r="D124" s="29">
        <f t="shared" si="7"/>
        <v>674</v>
      </c>
    </row>
    <row r="125" spans="1:5" x14ac:dyDescent="0.3">
      <c r="A125" s="8" t="s">
        <v>53</v>
      </c>
      <c r="B125" s="29">
        <v>108</v>
      </c>
      <c r="C125" s="29">
        <v>436</v>
      </c>
      <c r="D125" s="29">
        <f t="shared" si="7"/>
        <v>544</v>
      </c>
    </row>
    <row r="126" spans="1:5" x14ac:dyDescent="0.3">
      <c r="A126" s="8" t="s">
        <v>54</v>
      </c>
      <c r="B126" s="29">
        <v>113</v>
      </c>
      <c r="C126" s="29">
        <v>342</v>
      </c>
      <c r="D126" s="29">
        <f t="shared" si="7"/>
        <v>455</v>
      </c>
    </row>
    <row r="127" spans="1:5" x14ac:dyDescent="0.3">
      <c r="A127" s="8" t="s">
        <v>3</v>
      </c>
      <c r="B127" s="29">
        <v>63</v>
      </c>
      <c r="C127" s="29">
        <v>275</v>
      </c>
      <c r="D127" s="29">
        <f t="shared" si="7"/>
        <v>338</v>
      </c>
    </row>
    <row r="128" spans="1:5" x14ac:dyDescent="0.3">
      <c r="A128" s="8" t="s">
        <v>0</v>
      </c>
      <c r="B128" s="28">
        <f>SUM(B112:B120,B121:B127)</f>
        <v>7861</v>
      </c>
      <c r="C128" s="28">
        <f>SUM(C112:C120,C121:C127)</f>
        <v>23680</v>
      </c>
      <c r="D128" s="28">
        <f>SUM(D112:D127)</f>
        <v>31541</v>
      </c>
      <c r="E128" s="26"/>
    </row>
    <row r="129" spans="1:6" x14ac:dyDescent="0.3">
      <c r="A129" s="33" t="s">
        <v>111</v>
      </c>
      <c r="B129" s="33"/>
      <c r="C129" s="33"/>
      <c r="D129" s="33"/>
      <c r="E129" s="33"/>
      <c r="F129" s="33"/>
    </row>
    <row r="130" spans="1:6" x14ac:dyDescent="0.3">
      <c r="A130" s="36"/>
      <c r="B130" s="36"/>
      <c r="C130" s="36"/>
      <c r="D130" s="36"/>
    </row>
    <row r="132" spans="1:6" x14ac:dyDescent="0.3">
      <c r="A132" s="35" t="s">
        <v>55</v>
      </c>
      <c r="B132" s="35"/>
      <c r="C132" s="35"/>
      <c r="D132" s="35"/>
      <c r="E132" s="35"/>
      <c r="F132" s="35"/>
    </row>
    <row r="133" spans="1:6" x14ac:dyDescent="0.3">
      <c r="A133" s="2"/>
      <c r="F133" s="16" t="s">
        <v>72</v>
      </c>
    </row>
    <row r="134" spans="1:6" x14ac:dyDescent="0.3">
      <c r="A134" s="3" t="s">
        <v>71</v>
      </c>
      <c r="B134" s="3" t="s">
        <v>69</v>
      </c>
      <c r="C134" s="3" t="s">
        <v>98</v>
      </c>
      <c r="D134" s="3" t="s">
        <v>61</v>
      </c>
      <c r="E134" s="3" t="s">
        <v>56</v>
      </c>
      <c r="F134" s="3" t="s">
        <v>57</v>
      </c>
    </row>
    <row r="135" spans="1:6" x14ac:dyDescent="0.3">
      <c r="A135" s="8">
        <v>2008</v>
      </c>
      <c r="B135" s="5">
        <v>54.8</v>
      </c>
      <c r="C135" s="5">
        <v>10.8</v>
      </c>
      <c r="D135" s="5">
        <v>49.6</v>
      </c>
      <c r="E135" s="5">
        <v>44.9</v>
      </c>
      <c r="F135" s="5">
        <v>9.5</v>
      </c>
    </row>
    <row r="136" spans="1:6" x14ac:dyDescent="0.3">
      <c r="A136" s="8">
        <v>2009</v>
      </c>
      <c r="B136" s="5">
        <v>54.9</v>
      </c>
      <c r="C136" s="5">
        <v>6.1</v>
      </c>
      <c r="D136" s="5">
        <v>48.6</v>
      </c>
      <c r="E136" s="5">
        <v>41.9</v>
      </c>
      <c r="F136" s="5">
        <v>13.7</v>
      </c>
    </row>
    <row r="137" spans="1:6" x14ac:dyDescent="0.3">
      <c r="A137" s="8">
        <v>2010</v>
      </c>
      <c r="B137" s="5">
        <v>51.3</v>
      </c>
      <c r="C137" s="5">
        <v>4.9000000000000004</v>
      </c>
      <c r="D137" s="5">
        <v>42.6</v>
      </c>
      <c r="E137" s="5">
        <v>38.700000000000003</v>
      </c>
      <c r="F137" s="5">
        <v>9.1999999999999993</v>
      </c>
    </row>
    <row r="138" spans="1:6" x14ac:dyDescent="0.3">
      <c r="A138" s="8">
        <v>2011</v>
      </c>
      <c r="B138" s="5">
        <v>46.7</v>
      </c>
      <c r="C138" s="5">
        <v>4.7</v>
      </c>
      <c r="D138" s="5">
        <v>56.5</v>
      </c>
      <c r="E138" s="5">
        <v>49.7</v>
      </c>
      <c r="F138" s="5">
        <v>12.1</v>
      </c>
    </row>
    <row r="139" spans="1:6" x14ac:dyDescent="0.3">
      <c r="A139" s="8">
        <v>2012</v>
      </c>
      <c r="B139" s="5">
        <v>40.799999999999997</v>
      </c>
      <c r="C139" s="5">
        <v>3.3</v>
      </c>
      <c r="D139" s="5">
        <v>54.1</v>
      </c>
      <c r="E139" s="5">
        <v>50</v>
      </c>
      <c r="F139" s="5">
        <v>7.5</v>
      </c>
    </row>
    <row r="140" spans="1:6" x14ac:dyDescent="0.3">
      <c r="A140" s="8">
        <v>2013</v>
      </c>
      <c r="B140" s="5">
        <v>35</v>
      </c>
      <c r="C140" s="5">
        <v>3.46</v>
      </c>
      <c r="D140" s="5">
        <v>56.9</v>
      </c>
      <c r="E140" s="5">
        <v>51.4</v>
      </c>
      <c r="F140" s="5">
        <v>9.6999999999999993</v>
      </c>
    </row>
    <row r="141" spans="1:6" x14ac:dyDescent="0.3">
      <c r="A141" s="8">
        <v>2014</v>
      </c>
      <c r="B141" s="5">
        <v>32.299999999999997</v>
      </c>
      <c r="C141" s="5">
        <v>2.5</v>
      </c>
      <c r="D141" s="5">
        <v>55.3</v>
      </c>
      <c r="E141" s="5">
        <v>51.7</v>
      </c>
      <c r="F141" s="5">
        <v>6.4</v>
      </c>
    </row>
    <row r="142" spans="1:6" x14ac:dyDescent="0.3">
      <c r="A142" s="8">
        <v>2015</v>
      </c>
      <c r="B142" s="5">
        <v>25.3</v>
      </c>
      <c r="C142" s="5">
        <v>2.2000000000000002</v>
      </c>
      <c r="D142" s="5">
        <v>59.4</v>
      </c>
      <c r="E142" s="5">
        <v>54.6</v>
      </c>
      <c r="F142" s="5">
        <v>4.8</v>
      </c>
    </row>
    <row r="143" spans="1:6" x14ac:dyDescent="0.3">
      <c r="A143" s="8">
        <v>2016</v>
      </c>
      <c r="B143" s="5">
        <v>24.4</v>
      </c>
      <c r="C143" s="5">
        <v>2.1</v>
      </c>
      <c r="D143" s="5">
        <v>57.9</v>
      </c>
      <c r="E143" s="5">
        <v>55</v>
      </c>
      <c r="F143" s="5">
        <v>5.0999999999999996</v>
      </c>
    </row>
    <row r="144" spans="1:6" x14ac:dyDescent="0.3">
      <c r="A144" s="8">
        <v>2017</v>
      </c>
      <c r="B144" s="5">
        <v>24.4</v>
      </c>
      <c r="C144" s="11">
        <v>2</v>
      </c>
      <c r="D144" s="5">
        <v>61.2</v>
      </c>
      <c r="E144" s="5">
        <v>56.9</v>
      </c>
      <c r="F144" s="11">
        <v>7</v>
      </c>
    </row>
    <row r="145" spans="1:6" x14ac:dyDescent="0.3">
      <c r="A145" s="8">
        <v>2018</v>
      </c>
      <c r="B145" s="5">
        <v>23.8</v>
      </c>
      <c r="C145" s="11">
        <v>2.5</v>
      </c>
      <c r="D145" s="5">
        <v>64.8</v>
      </c>
      <c r="E145" s="5">
        <v>60.4</v>
      </c>
      <c r="F145" s="5">
        <v>6.9</v>
      </c>
    </row>
    <row r="146" spans="1:6" x14ac:dyDescent="0.3">
      <c r="A146" s="8">
        <v>2019</v>
      </c>
      <c r="B146" s="5">
        <v>23.8</v>
      </c>
      <c r="C146" s="11">
        <v>3</v>
      </c>
      <c r="D146" s="5">
        <v>62.1</v>
      </c>
      <c r="E146" s="12">
        <v>58.2</v>
      </c>
      <c r="F146" s="5">
        <v>6.3</v>
      </c>
    </row>
    <row r="147" spans="1:6" x14ac:dyDescent="0.3">
      <c r="A147" s="8">
        <v>2020</v>
      </c>
      <c r="B147" s="5">
        <v>23.8</v>
      </c>
      <c r="C147" s="12">
        <v>2.9</v>
      </c>
      <c r="D147" s="5">
        <v>60.1</v>
      </c>
      <c r="E147" s="12">
        <v>54.4</v>
      </c>
      <c r="F147" s="5">
        <v>9.4</v>
      </c>
    </row>
    <row r="148" spans="1:6" x14ac:dyDescent="0.3">
      <c r="A148" s="8">
        <v>2021</v>
      </c>
      <c r="B148" s="5">
        <v>22.8</v>
      </c>
      <c r="C148" s="12">
        <v>1.2</v>
      </c>
      <c r="D148" s="5">
        <v>61.3</v>
      </c>
      <c r="E148" s="12">
        <v>56.7</v>
      </c>
      <c r="F148" s="5">
        <v>7.5</v>
      </c>
    </row>
    <row r="149" spans="1:6" x14ac:dyDescent="0.3">
      <c r="A149" s="8">
        <v>2022</v>
      </c>
      <c r="B149" s="5">
        <v>22.6</v>
      </c>
      <c r="C149" s="15">
        <v>1.6</v>
      </c>
      <c r="D149" s="13">
        <v>63</v>
      </c>
      <c r="E149" s="12">
        <v>59.2</v>
      </c>
      <c r="F149" s="5">
        <v>6.1</v>
      </c>
    </row>
    <row r="150" spans="1:6" x14ac:dyDescent="0.3">
      <c r="A150" s="8">
        <v>2023</v>
      </c>
      <c r="B150" s="5">
        <v>22.7</v>
      </c>
      <c r="C150" s="15">
        <v>1.9</v>
      </c>
      <c r="D150" s="13">
        <v>63.4</v>
      </c>
      <c r="E150" s="12">
        <v>60.5</v>
      </c>
      <c r="F150" s="5">
        <v>4.5</v>
      </c>
    </row>
    <row r="151" spans="1:6" x14ac:dyDescent="0.3">
      <c r="A151" s="8">
        <v>2024</v>
      </c>
      <c r="B151" s="5">
        <v>22.9</v>
      </c>
      <c r="C151" s="15">
        <v>2.7</v>
      </c>
      <c r="D151" s="13">
        <v>64.099999999999994</v>
      </c>
      <c r="E151" s="12">
        <v>60.1</v>
      </c>
      <c r="F151" s="5">
        <v>6.3</v>
      </c>
    </row>
    <row r="152" spans="1:6" x14ac:dyDescent="0.3">
      <c r="A152" s="27">
        <v>2025</v>
      </c>
      <c r="B152" s="5">
        <v>23.4</v>
      </c>
      <c r="C152" s="15">
        <v>2.2000000000000002</v>
      </c>
      <c r="D152" s="13">
        <v>64.8</v>
      </c>
      <c r="E152" s="12">
        <v>61.3</v>
      </c>
      <c r="F152" s="5">
        <v>5.4</v>
      </c>
    </row>
    <row r="153" spans="1:6" x14ac:dyDescent="0.3">
      <c r="A153" s="33" t="s">
        <v>64</v>
      </c>
      <c r="B153" s="33"/>
      <c r="C153" s="33"/>
      <c r="D153" s="33"/>
      <c r="E153" s="33"/>
      <c r="F153" s="33"/>
    </row>
    <row r="154" spans="1:6" x14ac:dyDescent="0.3">
      <c r="A154" s="33" t="s">
        <v>65</v>
      </c>
      <c r="B154" s="33"/>
      <c r="C154" s="33"/>
      <c r="D154" s="33"/>
      <c r="E154" s="33"/>
      <c r="F154" s="33"/>
    </row>
  </sheetData>
  <mergeCells count="19">
    <mergeCell ref="A1:E1"/>
    <mergeCell ref="A33:D33"/>
    <mergeCell ref="A47:D47"/>
    <mergeCell ref="A61:D61"/>
    <mergeCell ref="A76:D76"/>
    <mergeCell ref="A59:F59"/>
    <mergeCell ref="A73:F73"/>
    <mergeCell ref="A74:F74"/>
    <mergeCell ref="A153:F153"/>
    <mergeCell ref="A154:F154"/>
    <mergeCell ref="A93:D93"/>
    <mergeCell ref="A44:F44"/>
    <mergeCell ref="A109:D109"/>
    <mergeCell ref="A132:F132"/>
    <mergeCell ref="A130:D130"/>
    <mergeCell ref="A95:D95"/>
    <mergeCell ref="A106:F106"/>
    <mergeCell ref="A107:D107"/>
    <mergeCell ref="A129:F129"/>
  </mergeCells>
  <phoneticPr fontId="10" type="noConversion"/>
  <pageMargins left="0.7" right="0.7" top="0.75" bottom="0.75" header="0.3" footer="0.3"/>
  <pageSetup paperSize="9" scale="90" orientation="portrait" r:id="rId1"/>
  <rowBreaks count="3" manualBreakCount="3">
    <brk id="32" max="16383" man="1"/>
    <brk id="60" max="16383" man="1"/>
    <brk id="1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북한이탈주민 정착지원 통계(공개)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C131</dc:creator>
  <cp:lastModifiedBy>user</cp:lastModifiedBy>
  <cp:lastPrinted>2026-07-30T01:23:55Z</cp:lastPrinted>
  <dcterms:created xsi:type="dcterms:W3CDTF">2014-12-12T06:52:04Z</dcterms:created>
  <dcterms:modified xsi:type="dcterms:W3CDTF">2026-07-30T01:24:12Z</dcterms:modified>
</cp:coreProperties>
</file>